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Responder updated this value.</t>
      </text>
    </comment>
    <comment authorId="0" ref="H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<sst xmlns="http://schemas.openxmlformats.org/spreadsheetml/2006/main" count="36" uniqueCount="36">
  <si>
    <t>Timestamp</t>
  </si>
  <si>
    <t>Select Billing Period</t>
  </si>
  <si>
    <t>First Floor Meter Reading (Units)</t>
  </si>
  <si>
    <t>Motor Meter Reading (Units)</t>
  </si>
  <si>
    <t>Main Bill Units</t>
  </si>
  <si>
    <t>Bill Amount</t>
  </si>
  <si>
    <t>First floor meter photo</t>
  </si>
  <si>
    <t>Motor meter photo</t>
  </si>
  <si>
    <t>That Month Units (main)</t>
  </si>
  <si>
    <t>That Month Units (motor)</t>
  </si>
  <si>
    <t>First floor unit</t>
  </si>
  <si>
    <t>Ground floor unit</t>
  </si>
  <si>
    <t>Bill After Fixed Charge</t>
  </si>
  <si>
    <t>rs/unit</t>
  </si>
  <si>
    <t>First floor Amount</t>
  </si>
  <si>
    <t>Ground Floor Amount</t>
  </si>
  <si>
    <t>Feb-Mar-25</t>
  </si>
  <si>
    <t>Apr-May-25</t>
  </si>
  <si>
    <t>Jun-Jul-25</t>
  </si>
  <si>
    <t>https://drive.google.com/open?id=1ILiLoc5l-n8uMRnPdDAQOWO6sZoVHi8Y</t>
  </si>
  <si>
    <t>https://drive.google.com/open?id=1jhQogKFqFDZcjuc9IVAd64UtwZ3XOWuK</t>
  </si>
  <si>
    <t>Aug-Sep-25</t>
  </si>
  <si>
    <t>https://drive.google.com/open?id=1U7ng3NpbQT4k2SnLKHaIdzNspsZNJWdq</t>
  </si>
  <si>
    <t>https://drive.google.com/open?id=1KmlsAU0RfqMapQ8HB7K8CqKzNX216-v4</t>
  </si>
  <si>
    <t>Oct-Nov-25</t>
  </si>
  <si>
    <t>https://drive.google.com/open?id=1npsgSHclVkh3UlxblKswgBwBPKoq-bQn</t>
  </si>
  <si>
    <t>https://drive.google.com/open?id=1Ym0xwIZcgUBS04MrAqacErPvf5J7PkPN</t>
  </si>
  <si>
    <t>Dec-Jan-26</t>
  </si>
  <si>
    <t>https://drive.google.com/open?id=1OmGR5Hm1glnyHdcRm_7kuZgoN4dZF4Q6</t>
  </si>
  <si>
    <t>https://drive.google.com/open?id=19ljQctPbM9o3tSHBuLdrF5EpKp8-1lzX</t>
  </si>
  <si>
    <t>Feb-Mar-26</t>
  </si>
  <si>
    <t>https://drive.google.com/open?id=1wM6e8t0XRWah66aAQxY5odqR5LC0q1vv</t>
  </si>
  <si>
    <t>https://drive.google.com/open?id=1GrAuXJrkOe42cMRGip02Db15aeFrXDWH</t>
  </si>
  <si>
    <t>Apr-May-26</t>
  </si>
  <si>
    <t>https://drive.google.com/open?id=1W8jJ8qqcyITHtb62cYuXkGXl8O-nDycZ</t>
  </si>
  <si>
    <t>https://drive.google.com/open?id=1qniw-oKR5lQA0ej3iWBJL4yXAtPguwFH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</si>
</sst>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2" fontId="3" numFmtId="0" xfId="0" applyFill="1" applyFont="1"/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9" displayName="Form_Responses" name="Form_Responses" id="1">
  <tableColumns count="9">
    <tableColumn name="Timestamp" id="1"/>
    <tableColumn name="Select Billing Period" id="2"/>
    <tableColumn name="First Floor Meter Reading (Units)" id="3"/>
    <tableColumn name="Motor Meter Reading (Units)" id="4"/>
    <tableColumn name="Main Bill Units" id="5"/>
    <tableColumn name="Bill Amount" id="6"/>
    <tableColumn name="First floor meter photo" id="7"/>
    <tableColumn name="Motor meter photo" id="8"/>
    <tableColumn name="That Month Units (main)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GrAuXJrkOe42cMRGip02Db15aeFrXDWH" TargetMode="External"/><Relationship Id="rId10" Type="http://schemas.openxmlformats.org/officeDocument/2006/relationships/hyperlink" Target="https://drive.google.com/open?id=1wM6e8t0XRWah66aAQxY5odqR5LC0q1vv" TargetMode="External"/><Relationship Id="rId13" Type="http://schemas.openxmlformats.org/officeDocument/2006/relationships/hyperlink" Target="https://drive.google.com/open?id=1qniw-oKR5lQA0ej3iWBJL4yXAtPguwFH" TargetMode="External"/><Relationship Id="rId12" Type="http://schemas.openxmlformats.org/officeDocument/2006/relationships/hyperlink" Target="https://drive.google.com/open?id=1W8jJ8qqcyITHtb62cYuXkGXl8O-nDycZ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ILiLoc5l-n8uMRnPdDAQOWO6sZoVHi8Y" TargetMode="External"/><Relationship Id="rId3" Type="http://schemas.openxmlformats.org/officeDocument/2006/relationships/hyperlink" Target="https://drive.google.com/open?id=1jhQogKFqFDZcjuc9IVAd64UtwZ3XOWuK" TargetMode="External"/><Relationship Id="rId4" Type="http://schemas.openxmlformats.org/officeDocument/2006/relationships/hyperlink" Target="https://drive.google.com/open?id=1U7ng3NpbQT4k2SnLKHaIdzNspsZNJWdq" TargetMode="External"/><Relationship Id="rId9" Type="http://schemas.openxmlformats.org/officeDocument/2006/relationships/hyperlink" Target="https://drive.google.com/open?id=19ljQctPbM9o3tSHBuLdrF5EpKp8-1lzX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.xml"/><Relationship Id="rId17" Type="http://schemas.openxmlformats.org/officeDocument/2006/relationships/table" Target="../tables/table1.xml"/><Relationship Id="rId5" Type="http://schemas.openxmlformats.org/officeDocument/2006/relationships/hyperlink" Target="https://drive.google.com/open?id=1KmlsAU0RfqMapQ8HB7K8CqKzNX216-v4" TargetMode="External"/><Relationship Id="rId6" Type="http://schemas.openxmlformats.org/officeDocument/2006/relationships/hyperlink" Target="https://drive.google.com/open?id=1npsgSHclVkh3UlxblKswgBwBPKoq-bQn" TargetMode="External"/><Relationship Id="rId7" Type="http://schemas.openxmlformats.org/officeDocument/2006/relationships/hyperlink" Target="https://drive.google.com/open?id=1Ym0xwIZcgUBS04MrAqacErPvf5J7PkPN" TargetMode="External"/><Relationship Id="rId8" Type="http://schemas.openxmlformats.org/officeDocument/2006/relationships/hyperlink" Target="https://drive.google.com/open?id=1OmGR5Hm1glnyHdcRm_7kuZgoN4dZF4Q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75"/>
    <col customWidth="1" min="3" max="3" width="28.88"/>
    <col customWidth="1" min="4" max="4" width="25.88"/>
    <col customWidth="1" min="5" max="5" width="18.88"/>
    <col customWidth="1" min="6" max="6" width="28.75"/>
    <col customWidth="1" min="7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</row>
    <row r="2" ht="22.5" customHeight="1">
      <c r="A2" s="6">
        <v>45899.82659913195</v>
      </c>
      <c r="B2" s="7" t="s">
        <v>16</v>
      </c>
      <c r="C2" s="7">
        <v>8110.4</v>
      </c>
      <c r="D2" s="7">
        <v>530.3</v>
      </c>
      <c r="E2" s="7">
        <v>242.0</v>
      </c>
      <c r="F2" s="7">
        <v>2130.0</v>
      </c>
      <c r="G2" s="8"/>
      <c r="H2" s="8"/>
      <c r="I2" s="8"/>
    </row>
    <row r="3" ht="22.5" customHeight="1">
      <c r="A3" s="9">
        <v>45899.82904280093</v>
      </c>
      <c r="B3" s="10" t="s">
        <v>17</v>
      </c>
      <c r="C3" s="10">
        <v>8266.0</v>
      </c>
      <c r="D3" s="10">
        <v>537.5</v>
      </c>
      <c r="E3" s="10">
        <v>268.0</v>
      </c>
      <c r="F3" s="10">
        <v>2370.0</v>
      </c>
      <c r="I3" s="11">
        <f t="shared" ref="I3:J3" si="1">C3-C2</f>
        <v>155.6</v>
      </c>
      <c r="J3" s="12">
        <f t="shared" si="1"/>
        <v>7.2</v>
      </c>
      <c r="K3" s="12">
        <f t="shared" ref="K3:K32" si="3">I3+J3</f>
        <v>162.8</v>
      </c>
      <c r="L3" s="12">
        <f t="shared" ref="L3:L32" si="4">E3-K3</f>
        <v>105.2</v>
      </c>
      <c r="M3" s="12">
        <f t="shared" ref="M3:M32" si="5">F3-50</f>
        <v>2320</v>
      </c>
      <c r="N3" s="12">
        <f t="shared" ref="N3:N32" si="6">M3/E3</f>
        <v>8.656716418</v>
      </c>
      <c r="O3" s="13">
        <f t="shared" ref="O3:O32" si="7">(N3*K3)+25</f>
        <v>1434.313433</v>
      </c>
      <c r="P3" s="13">
        <f t="shared" ref="P3:P32" si="8">(N3*L3)+25</f>
        <v>935.6865672</v>
      </c>
    </row>
    <row r="4" ht="22.5" customHeight="1">
      <c r="A4" s="9">
        <v>45899.87466350694</v>
      </c>
      <c r="B4" s="10" t="s">
        <v>18</v>
      </c>
      <c r="C4" s="10">
        <v>8421.0</v>
      </c>
      <c r="D4" s="10">
        <v>544.6</v>
      </c>
      <c r="E4" s="10">
        <v>241.0</v>
      </c>
      <c r="F4" s="10">
        <v>2170.0</v>
      </c>
      <c r="G4" s="14" t="s">
        <v>19</v>
      </c>
      <c r="H4" s="14" t="s">
        <v>20</v>
      </c>
      <c r="I4" s="11">
        <f t="shared" ref="I4:J4" si="2">C4-C3</f>
        <v>155</v>
      </c>
      <c r="J4" s="12">
        <f t="shared" si="2"/>
        <v>7.1</v>
      </c>
      <c r="K4" s="12">
        <f t="shared" si="3"/>
        <v>162.1</v>
      </c>
      <c r="L4" s="12">
        <f t="shared" si="4"/>
        <v>78.9</v>
      </c>
      <c r="M4" s="12">
        <f t="shared" si="5"/>
        <v>2120</v>
      </c>
      <c r="N4" s="12">
        <f t="shared" si="6"/>
        <v>8.796680498</v>
      </c>
      <c r="O4" s="13">
        <f t="shared" si="7"/>
        <v>1450.941909</v>
      </c>
      <c r="P4" s="13">
        <f t="shared" si="8"/>
        <v>719.0580913</v>
      </c>
    </row>
    <row r="5" ht="22.5" customHeight="1">
      <c r="A5" s="9">
        <v>45931.8752378125</v>
      </c>
      <c r="B5" s="10" t="s">
        <v>21</v>
      </c>
      <c r="C5" s="10">
        <v>8584.1</v>
      </c>
      <c r="D5" s="10">
        <v>552.8</v>
      </c>
      <c r="E5" s="10">
        <v>303.0</v>
      </c>
      <c r="F5" s="10">
        <v>2740.0</v>
      </c>
      <c r="G5" s="14" t="s">
        <v>22</v>
      </c>
      <c r="H5" s="14" t="s">
        <v>23</v>
      </c>
      <c r="I5" s="11">
        <f t="shared" ref="I5:J5" si="9">C5-C4</f>
        <v>163.1</v>
      </c>
      <c r="J5" s="12">
        <f t="shared" si="9"/>
        <v>8.2</v>
      </c>
      <c r="K5" s="12">
        <f t="shared" si="3"/>
        <v>171.3</v>
      </c>
      <c r="L5" s="12">
        <f t="shared" si="4"/>
        <v>131.7</v>
      </c>
      <c r="M5" s="12">
        <f t="shared" si="5"/>
        <v>2690</v>
      </c>
      <c r="N5" s="12">
        <f t="shared" si="6"/>
        <v>8.877887789</v>
      </c>
      <c r="O5" s="13">
        <f t="shared" si="7"/>
        <v>1545.782178</v>
      </c>
      <c r="P5" s="13">
        <f t="shared" si="8"/>
        <v>1194.217822</v>
      </c>
    </row>
    <row r="6" ht="22.5" customHeight="1">
      <c r="A6" s="9">
        <v>45994.826791643514</v>
      </c>
      <c r="B6" s="10" t="s">
        <v>24</v>
      </c>
      <c r="C6" s="10">
        <v>8744.3</v>
      </c>
      <c r="D6" s="10">
        <v>561.3</v>
      </c>
      <c r="E6" s="10">
        <v>281.0</v>
      </c>
      <c r="F6" s="10">
        <v>2530.0</v>
      </c>
      <c r="G6" s="14" t="s">
        <v>25</v>
      </c>
      <c r="H6" s="14" t="s">
        <v>26</v>
      </c>
      <c r="I6" s="11">
        <f t="shared" ref="I6:J6" si="10">C6-C5</f>
        <v>160.2</v>
      </c>
      <c r="J6" s="12">
        <f t="shared" si="10"/>
        <v>8.5</v>
      </c>
      <c r="K6" s="12">
        <f t="shared" si="3"/>
        <v>168.7</v>
      </c>
      <c r="L6" s="12">
        <f t="shared" si="4"/>
        <v>112.3</v>
      </c>
      <c r="M6" s="12">
        <f t="shared" si="5"/>
        <v>2480</v>
      </c>
      <c r="N6" s="12">
        <f t="shared" si="6"/>
        <v>8.825622776</v>
      </c>
      <c r="O6" s="13">
        <f t="shared" si="7"/>
        <v>1513.882562</v>
      </c>
      <c r="P6" s="13">
        <f t="shared" si="8"/>
        <v>1016.117438</v>
      </c>
    </row>
    <row r="7" ht="22.5" customHeight="1">
      <c r="A7" s="9">
        <v>46057.46615313657</v>
      </c>
      <c r="B7" s="10" t="s">
        <v>27</v>
      </c>
      <c r="C7" s="10">
        <v>8821.0</v>
      </c>
      <c r="D7" s="10">
        <v>566.0</v>
      </c>
      <c r="E7" s="10">
        <v>200.0</v>
      </c>
      <c r="F7" s="10">
        <v>1790.0</v>
      </c>
      <c r="G7" s="14" t="s">
        <v>28</v>
      </c>
      <c r="H7" s="14" t="s">
        <v>29</v>
      </c>
      <c r="I7" s="11">
        <f t="shared" ref="I7:J7" si="11">C7-C6</f>
        <v>76.7</v>
      </c>
      <c r="J7" s="12">
        <f t="shared" si="11"/>
        <v>4.7</v>
      </c>
      <c r="K7" s="12">
        <f t="shared" si="3"/>
        <v>81.4</v>
      </c>
      <c r="L7" s="12">
        <f t="shared" si="4"/>
        <v>118.6</v>
      </c>
      <c r="M7" s="12">
        <f t="shared" si="5"/>
        <v>1740</v>
      </c>
      <c r="N7" s="12">
        <f t="shared" si="6"/>
        <v>8.7</v>
      </c>
      <c r="O7" s="13">
        <f t="shared" si="7"/>
        <v>733.18</v>
      </c>
      <c r="P7" s="13">
        <f t="shared" si="8"/>
        <v>1056.82</v>
      </c>
    </row>
    <row r="8" ht="22.5" customHeight="1">
      <c r="A8" s="9">
        <v>46119.80381494213</v>
      </c>
      <c r="B8" s="10" t="s">
        <v>30</v>
      </c>
      <c r="C8" s="10">
        <v>8954.7</v>
      </c>
      <c r="D8" s="10">
        <v>574.7</v>
      </c>
      <c r="E8" s="10">
        <v>213.0</v>
      </c>
      <c r="F8" s="10">
        <v>1920.0</v>
      </c>
      <c r="G8" s="14" t="s">
        <v>31</v>
      </c>
      <c r="H8" s="14" t="s">
        <v>32</v>
      </c>
      <c r="I8" s="11">
        <f t="shared" ref="I8:J8" si="12">C8-C7</f>
        <v>133.7</v>
      </c>
      <c r="J8" s="12">
        <f t="shared" si="12"/>
        <v>8.7</v>
      </c>
      <c r="K8" s="12">
        <f t="shared" si="3"/>
        <v>142.4</v>
      </c>
      <c r="L8" s="12">
        <f t="shared" si="4"/>
        <v>70.6</v>
      </c>
      <c r="M8" s="12">
        <f t="shared" si="5"/>
        <v>1870</v>
      </c>
      <c r="N8" s="12">
        <f t="shared" si="6"/>
        <v>8.779342723</v>
      </c>
      <c r="O8" s="13">
        <f t="shared" si="7"/>
        <v>1275.178404</v>
      </c>
      <c r="P8" s="13">
        <f t="shared" si="8"/>
        <v>644.8215962</v>
      </c>
    </row>
    <row r="9" ht="22.5" customHeight="1">
      <c r="A9" s="9">
        <v>46184.915029745374</v>
      </c>
      <c r="B9" s="10" t="s">
        <v>33</v>
      </c>
      <c r="C9" s="10">
        <v>9170.0</v>
      </c>
      <c r="D9" s="10">
        <v>585.5</v>
      </c>
      <c r="E9" s="10">
        <v>338.0</v>
      </c>
      <c r="F9" s="10">
        <v>3040.0</v>
      </c>
      <c r="G9" s="14" t="s">
        <v>34</v>
      </c>
      <c r="H9" s="14" t="s">
        <v>35</v>
      </c>
      <c r="I9" s="11">
        <f t="shared" ref="I9:J9" si="13">C9-C8</f>
        <v>215.3</v>
      </c>
      <c r="J9" s="12">
        <f t="shared" si="13"/>
        <v>10.8</v>
      </c>
      <c r="K9" s="12">
        <f t="shared" si="3"/>
        <v>226.1</v>
      </c>
      <c r="L9" s="12">
        <f t="shared" si="4"/>
        <v>111.9</v>
      </c>
      <c r="M9" s="12">
        <f t="shared" si="5"/>
        <v>2990</v>
      </c>
      <c r="N9" s="12">
        <f t="shared" si="6"/>
        <v>8.846153846</v>
      </c>
      <c r="O9" s="13">
        <f t="shared" si="7"/>
        <v>2025.115385</v>
      </c>
      <c r="P9" s="13">
        <f t="shared" si="8"/>
        <v>1014.884615</v>
      </c>
    </row>
    <row r="10">
      <c r="I10" s="12">
        <f t="shared" ref="I10:J10" si="14">C10-C4</f>
        <v>-8421</v>
      </c>
      <c r="J10" s="12">
        <f t="shared" si="14"/>
        <v>-544.6</v>
      </c>
      <c r="K10" s="12">
        <f t="shared" si="3"/>
        <v>-8965.6</v>
      </c>
      <c r="L10" s="12">
        <f t="shared" si="4"/>
        <v>8965.6</v>
      </c>
      <c r="M10" s="12">
        <f t="shared" si="5"/>
        <v>-50</v>
      </c>
      <c r="N10" s="12" t="str">
        <f t="shared" si="6"/>
        <v>#DIV/0!</v>
      </c>
      <c r="O10" s="13" t="str">
        <f t="shared" si="7"/>
        <v>#DIV/0!</v>
      </c>
      <c r="P10" s="13" t="str">
        <f t="shared" si="8"/>
        <v>#DIV/0!</v>
      </c>
    </row>
    <row r="11">
      <c r="I11" s="12">
        <f t="shared" ref="I11:J11" si="15">C11-C10</f>
        <v>0</v>
      </c>
      <c r="J11" s="12">
        <f t="shared" si="15"/>
        <v>0</v>
      </c>
      <c r="K11" s="12">
        <f t="shared" si="3"/>
        <v>0</v>
      </c>
      <c r="L11" s="12">
        <f t="shared" si="4"/>
        <v>0</v>
      </c>
      <c r="M11" s="12">
        <f t="shared" si="5"/>
        <v>-50</v>
      </c>
      <c r="N11" s="12" t="str">
        <f t="shared" si="6"/>
        <v>#DIV/0!</v>
      </c>
      <c r="O11" s="13" t="str">
        <f t="shared" si="7"/>
        <v>#DIV/0!</v>
      </c>
      <c r="P11" s="13" t="str">
        <f t="shared" si="8"/>
        <v>#DIV/0!</v>
      </c>
    </row>
    <row r="12">
      <c r="I12" s="12">
        <f t="shared" ref="I12:J12" si="16">C12-C11</f>
        <v>0</v>
      </c>
      <c r="J12" s="12">
        <f t="shared" si="16"/>
        <v>0</v>
      </c>
      <c r="K12" s="12">
        <f t="shared" si="3"/>
        <v>0</v>
      </c>
      <c r="L12" s="12">
        <f t="shared" si="4"/>
        <v>0</v>
      </c>
      <c r="M12" s="12">
        <f t="shared" si="5"/>
        <v>-50</v>
      </c>
      <c r="N12" s="12" t="str">
        <f t="shared" si="6"/>
        <v>#DIV/0!</v>
      </c>
      <c r="O12" s="13" t="str">
        <f t="shared" si="7"/>
        <v>#DIV/0!</v>
      </c>
      <c r="P12" s="13" t="str">
        <f t="shared" si="8"/>
        <v>#DIV/0!</v>
      </c>
    </row>
    <row r="13">
      <c r="I13" s="12">
        <f t="shared" ref="I13:J13" si="17">C13-C12</f>
        <v>0</v>
      </c>
      <c r="J13" s="12">
        <f t="shared" si="17"/>
        <v>0</v>
      </c>
      <c r="K13" s="12">
        <f t="shared" si="3"/>
        <v>0</v>
      </c>
      <c r="L13" s="12">
        <f t="shared" si="4"/>
        <v>0</v>
      </c>
      <c r="M13" s="12">
        <f t="shared" si="5"/>
        <v>-50</v>
      </c>
      <c r="N13" s="12" t="str">
        <f t="shared" si="6"/>
        <v>#DIV/0!</v>
      </c>
      <c r="O13" s="13" t="str">
        <f t="shared" si="7"/>
        <v>#DIV/0!</v>
      </c>
      <c r="P13" s="13" t="str">
        <f t="shared" si="8"/>
        <v>#DIV/0!</v>
      </c>
    </row>
    <row r="14">
      <c r="I14" s="12">
        <f t="shared" ref="I14:J14" si="18">C14-C13</f>
        <v>0</v>
      </c>
      <c r="J14" s="12">
        <f t="shared" si="18"/>
        <v>0</v>
      </c>
      <c r="K14" s="12">
        <f t="shared" si="3"/>
        <v>0</v>
      </c>
      <c r="L14" s="12">
        <f t="shared" si="4"/>
        <v>0</v>
      </c>
      <c r="M14" s="12">
        <f t="shared" si="5"/>
        <v>-50</v>
      </c>
      <c r="N14" s="12" t="str">
        <f t="shared" si="6"/>
        <v>#DIV/0!</v>
      </c>
      <c r="O14" s="13" t="str">
        <f t="shared" si="7"/>
        <v>#DIV/0!</v>
      </c>
      <c r="P14" s="13" t="str">
        <f t="shared" si="8"/>
        <v>#DIV/0!</v>
      </c>
    </row>
    <row r="15">
      <c r="I15" s="12">
        <f t="shared" ref="I15:J15" si="19">C15-C14</f>
        <v>0</v>
      </c>
      <c r="J15" s="12">
        <f t="shared" si="19"/>
        <v>0</v>
      </c>
      <c r="K15" s="12">
        <f t="shared" si="3"/>
        <v>0</v>
      </c>
      <c r="L15" s="12">
        <f t="shared" si="4"/>
        <v>0</v>
      </c>
      <c r="M15" s="12">
        <f t="shared" si="5"/>
        <v>-50</v>
      </c>
      <c r="N15" s="12" t="str">
        <f t="shared" si="6"/>
        <v>#DIV/0!</v>
      </c>
      <c r="O15" s="13" t="str">
        <f t="shared" si="7"/>
        <v>#DIV/0!</v>
      </c>
      <c r="P15" s="13" t="str">
        <f t="shared" si="8"/>
        <v>#DIV/0!</v>
      </c>
    </row>
    <row r="16">
      <c r="I16" s="12">
        <f t="shared" ref="I16:J16" si="20">C16-C15</f>
        <v>0</v>
      </c>
      <c r="J16" s="12">
        <f t="shared" si="20"/>
        <v>0</v>
      </c>
      <c r="K16" s="12">
        <f t="shared" si="3"/>
        <v>0</v>
      </c>
      <c r="L16" s="12">
        <f t="shared" si="4"/>
        <v>0</v>
      </c>
      <c r="M16" s="12">
        <f t="shared" si="5"/>
        <v>-50</v>
      </c>
      <c r="N16" s="12" t="str">
        <f t="shared" si="6"/>
        <v>#DIV/0!</v>
      </c>
      <c r="O16" s="13" t="str">
        <f t="shared" si="7"/>
        <v>#DIV/0!</v>
      </c>
      <c r="P16" s="13" t="str">
        <f t="shared" si="8"/>
        <v>#DIV/0!</v>
      </c>
    </row>
    <row r="17">
      <c r="I17" s="12">
        <f t="shared" ref="I17:J17" si="21">C17-C16</f>
        <v>0</v>
      </c>
      <c r="J17" s="12">
        <f t="shared" si="21"/>
        <v>0</v>
      </c>
      <c r="K17" s="12">
        <f t="shared" si="3"/>
        <v>0</v>
      </c>
      <c r="L17" s="12">
        <f t="shared" si="4"/>
        <v>0</v>
      </c>
      <c r="M17" s="12">
        <f t="shared" si="5"/>
        <v>-50</v>
      </c>
      <c r="N17" s="12" t="str">
        <f t="shared" si="6"/>
        <v>#DIV/0!</v>
      </c>
      <c r="O17" s="13" t="str">
        <f t="shared" si="7"/>
        <v>#DIV/0!</v>
      </c>
      <c r="P17" s="13" t="str">
        <f t="shared" si="8"/>
        <v>#DIV/0!</v>
      </c>
    </row>
    <row r="18">
      <c r="I18" s="12">
        <f t="shared" ref="I18:J18" si="22">C18-C17</f>
        <v>0</v>
      </c>
      <c r="J18" s="12">
        <f t="shared" si="22"/>
        <v>0</v>
      </c>
      <c r="K18" s="12">
        <f t="shared" si="3"/>
        <v>0</v>
      </c>
      <c r="L18" s="12">
        <f t="shared" si="4"/>
        <v>0</v>
      </c>
      <c r="M18" s="12">
        <f t="shared" si="5"/>
        <v>-50</v>
      </c>
      <c r="N18" s="12" t="str">
        <f t="shared" si="6"/>
        <v>#DIV/0!</v>
      </c>
      <c r="O18" s="13" t="str">
        <f t="shared" si="7"/>
        <v>#DIV/0!</v>
      </c>
      <c r="P18" s="13" t="str">
        <f t="shared" si="8"/>
        <v>#DIV/0!</v>
      </c>
    </row>
    <row r="19">
      <c r="I19" s="12">
        <f t="shared" ref="I19:J19" si="23">C19-C18</f>
        <v>0</v>
      </c>
      <c r="J19" s="12">
        <f t="shared" si="23"/>
        <v>0</v>
      </c>
      <c r="K19" s="12">
        <f t="shared" si="3"/>
        <v>0</v>
      </c>
      <c r="L19" s="12">
        <f t="shared" si="4"/>
        <v>0</v>
      </c>
      <c r="M19" s="12">
        <f t="shared" si="5"/>
        <v>-50</v>
      </c>
      <c r="N19" s="12" t="str">
        <f t="shared" si="6"/>
        <v>#DIV/0!</v>
      </c>
      <c r="O19" s="13" t="str">
        <f t="shared" si="7"/>
        <v>#DIV/0!</v>
      </c>
      <c r="P19" s="13" t="str">
        <f t="shared" si="8"/>
        <v>#DIV/0!</v>
      </c>
    </row>
    <row r="20">
      <c r="I20" s="12">
        <f t="shared" ref="I20:J20" si="24">C20-C19</f>
        <v>0</v>
      </c>
      <c r="J20" s="12">
        <f t="shared" si="24"/>
        <v>0</v>
      </c>
      <c r="K20" s="12">
        <f t="shared" si="3"/>
        <v>0</v>
      </c>
      <c r="L20" s="12">
        <f t="shared" si="4"/>
        <v>0</v>
      </c>
      <c r="M20" s="12">
        <f t="shared" si="5"/>
        <v>-50</v>
      </c>
      <c r="N20" s="12" t="str">
        <f t="shared" si="6"/>
        <v>#DIV/0!</v>
      </c>
      <c r="O20" s="13" t="str">
        <f t="shared" si="7"/>
        <v>#DIV/0!</v>
      </c>
      <c r="P20" s="13" t="str">
        <f t="shared" si="8"/>
        <v>#DIV/0!</v>
      </c>
    </row>
    <row r="21">
      <c r="I21" s="12">
        <f t="shared" ref="I21:J21" si="25">C21-C20</f>
        <v>0</v>
      </c>
      <c r="J21" s="12">
        <f t="shared" si="25"/>
        <v>0</v>
      </c>
      <c r="K21" s="12">
        <f t="shared" si="3"/>
        <v>0</v>
      </c>
      <c r="L21" s="12">
        <f t="shared" si="4"/>
        <v>0</v>
      </c>
      <c r="M21" s="12">
        <f t="shared" si="5"/>
        <v>-50</v>
      </c>
      <c r="N21" s="12" t="str">
        <f t="shared" si="6"/>
        <v>#DIV/0!</v>
      </c>
      <c r="O21" s="13" t="str">
        <f t="shared" si="7"/>
        <v>#DIV/0!</v>
      </c>
      <c r="P21" s="13" t="str">
        <f t="shared" si="8"/>
        <v>#DIV/0!</v>
      </c>
    </row>
    <row r="22">
      <c r="I22" s="12">
        <f t="shared" ref="I22:J22" si="26">C22-C21</f>
        <v>0</v>
      </c>
      <c r="J22" s="12">
        <f t="shared" si="26"/>
        <v>0</v>
      </c>
      <c r="K22" s="12">
        <f t="shared" si="3"/>
        <v>0</v>
      </c>
      <c r="L22" s="12">
        <f t="shared" si="4"/>
        <v>0</v>
      </c>
      <c r="M22" s="12">
        <f t="shared" si="5"/>
        <v>-50</v>
      </c>
      <c r="N22" s="12" t="str">
        <f t="shared" si="6"/>
        <v>#DIV/0!</v>
      </c>
      <c r="O22" s="13" t="str">
        <f t="shared" si="7"/>
        <v>#DIV/0!</v>
      </c>
      <c r="P22" s="13" t="str">
        <f t="shared" si="8"/>
        <v>#DIV/0!</v>
      </c>
    </row>
    <row r="23">
      <c r="I23" s="12">
        <f t="shared" ref="I23:J23" si="27">C23-C22</f>
        <v>0</v>
      </c>
      <c r="J23" s="12">
        <f t="shared" si="27"/>
        <v>0</v>
      </c>
      <c r="K23" s="12">
        <f t="shared" si="3"/>
        <v>0</v>
      </c>
      <c r="L23" s="12">
        <f t="shared" si="4"/>
        <v>0</v>
      </c>
      <c r="M23" s="12">
        <f t="shared" si="5"/>
        <v>-50</v>
      </c>
      <c r="N23" s="12" t="str">
        <f t="shared" si="6"/>
        <v>#DIV/0!</v>
      </c>
      <c r="O23" s="13" t="str">
        <f t="shared" si="7"/>
        <v>#DIV/0!</v>
      </c>
      <c r="P23" s="13" t="str">
        <f t="shared" si="8"/>
        <v>#DIV/0!</v>
      </c>
    </row>
    <row r="24">
      <c r="I24" s="12">
        <f t="shared" ref="I24:J24" si="28">C24-C23</f>
        <v>0</v>
      </c>
      <c r="J24" s="12">
        <f t="shared" si="28"/>
        <v>0</v>
      </c>
      <c r="K24" s="12">
        <f t="shared" si="3"/>
        <v>0</v>
      </c>
      <c r="L24" s="12">
        <f t="shared" si="4"/>
        <v>0</v>
      </c>
      <c r="M24" s="12">
        <f t="shared" si="5"/>
        <v>-50</v>
      </c>
      <c r="N24" s="12" t="str">
        <f t="shared" si="6"/>
        <v>#DIV/0!</v>
      </c>
      <c r="O24" s="13" t="str">
        <f t="shared" si="7"/>
        <v>#DIV/0!</v>
      </c>
      <c r="P24" s="13" t="str">
        <f t="shared" si="8"/>
        <v>#DIV/0!</v>
      </c>
    </row>
    <row r="25">
      <c r="I25" s="12">
        <f t="shared" ref="I25:J25" si="29">C25-C24</f>
        <v>0</v>
      </c>
      <c r="J25" s="12">
        <f t="shared" si="29"/>
        <v>0</v>
      </c>
      <c r="K25" s="12">
        <f t="shared" si="3"/>
        <v>0</v>
      </c>
      <c r="L25" s="12">
        <f t="shared" si="4"/>
        <v>0</v>
      </c>
      <c r="M25" s="12">
        <f t="shared" si="5"/>
        <v>-50</v>
      </c>
      <c r="N25" s="12" t="str">
        <f t="shared" si="6"/>
        <v>#DIV/0!</v>
      </c>
      <c r="O25" s="13" t="str">
        <f t="shared" si="7"/>
        <v>#DIV/0!</v>
      </c>
      <c r="P25" s="13" t="str">
        <f t="shared" si="8"/>
        <v>#DIV/0!</v>
      </c>
    </row>
    <row r="26">
      <c r="I26" s="12">
        <f t="shared" ref="I26:J26" si="30">C26-C25</f>
        <v>0</v>
      </c>
      <c r="J26" s="12">
        <f t="shared" si="30"/>
        <v>0</v>
      </c>
      <c r="K26" s="12">
        <f t="shared" si="3"/>
        <v>0</v>
      </c>
      <c r="L26" s="12">
        <f t="shared" si="4"/>
        <v>0</v>
      </c>
      <c r="M26" s="12">
        <f t="shared" si="5"/>
        <v>-50</v>
      </c>
      <c r="N26" s="12" t="str">
        <f t="shared" si="6"/>
        <v>#DIV/0!</v>
      </c>
      <c r="O26" s="13" t="str">
        <f t="shared" si="7"/>
        <v>#DIV/0!</v>
      </c>
      <c r="P26" s="13" t="str">
        <f t="shared" si="8"/>
        <v>#DIV/0!</v>
      </c>
    </row>
    <row r="27">
      <c r="I27" s="12">
        <f t="shared" ref="I27:J27" si="31">C27-C26</f>
        <v>0</v>
      </c>
      <c r="J27" s="12">
        <f t="shared" si="31"/>
        <v>0</v>
      </c>
      <c r="K27" s="12">
        <f t="shared" si="3"/>
        <v>0</v>
      </c>
      <c r="L27" s="12">
        <f t="shared" si="4"/>
        <v>0</v>
      </c>
      <c r="M27" s="12">
        <f t="shared" si="5"/>
        <v>-50</v>
      </c>
      <c r="N27" s="12" t="str">
        <f t="shared" si="6"/>
        <v>#DIV/0!</v>
      </c>
      <c r="O27" s="13" t="str">
        <f t="shared" si="7"/>
        <v>#DIV/0!</v>
      </c>
      <c r="P27" s="13" t="str">
        <f t="shared" si="8"/>
        <v>#DIV/0!</v>
      </c>
    </row>
    <row r="28">
      <c r="I28" s="12">
        <f t="shared" ref="I28:J28" si="32">C28-C27</f>
        <v>0</v>
      </c>
      <c r="J28" s="12">
        <f t="shared" si="32"/>
        <v>0</v>
      </c>
      <c r="K28" s="12">
        <f t="shared" si="3"/>
        <v>0</v>
      </c>
      <c r="L28" s="12">
        <f t="shared" si="4"/>
        <v>0</v>
      </c>
      <c r="M28" s="12">
        <f t="shared" si="5"/>
        <v>-50</v>
      </c>
      <c r="N28" s="12" t="str">
        <f t="shared" si="6"/>
        <v>#DIV/0!</v>
      </c>
      <c r="O28" s="13" t="str">
        <f t="shared" si="7"/>
        <v>#DIV/0!</v>
      </c>
      <c r="P28" s="13" t="str">
        <f t="shared" si="8"/>
        <v>#DIV/0!</v>
      </c>
    </row>
    <row r="29">
      <c r="I29" s="12">
        <f t="shared" ref="I29:J29" si="33">C29-C28</f>
        <v>0</v>
      </c>
      <c r="J29" s="12">
        <f t="shared" si="33"/>
        <v>0</v>
      </c>
      <c r="K29" s="12">
        <f t="shared" si="3"/>
        <v>0</v>
      </c>
      <c r="L29" s="12">
        <f t="shared" si="4"/>
        <v>0</v>
      </c>
      <c r="M29" s="12">
        <f t="shared" si="5"/>
        <v>-50</v>
      </c>
      <c r="N29" s="12" t="str">
        <f t="shared" si="6"/>
        <v>#DIV/0!</v>
      </c>
      <c r="O29" s="13" t="str">
        <f t="shared" si="7"/>
        <v>#DIV/0!</v>
      </c>
      <c r="P29" s="13" t="str">
        <f t="shared" si="8"/>
        <v>#DIV/0!</v>
      </c>
    </row>
    <row r="30">
      <c r="I30" s="12">
        <f t="shared" ref="I30:J30" si="34">C30-C29</f>
        <v>0</v>
      </c>
      <c r="J30" s="12">
        <f t="shared" si="34"/>
        <v>0</v>
      </c>
      <c r="K30" s="12">
        <f t="shared" si="3"/>
        <v>0</v>
      </c>
      <c r="L30" s="12">
        <f t="shared" si="4"/>
        <v>0</v>
      </c>
      <c r="M30" s="12">
        <f t="shared" si="5"/>
        <v>-50</v>
      </c>
      <c r="N30" s="12" t="str">
        <f t="shared" si="6"/>
        <v>#DIV/0!</v>
      </c>
      <c r="O30" s="13" t="str">
        <f t="shared" si="7"/>
        <v>#DIV/0!</v>
      </c>
      <c r="P30" s="13" t="str">
        <f t="shared" si="8"/>
        <v>#DIV/0!</v>
      </c>
    </row>
    <row r="31">
      <c r="I31" s="12">
        <f t="shared" ref="I31:J31" si="35">C31-C30</f>
        <v>0</v>
      </c>
      <c r="J31" s="12">
        <f t="shared" si="35"/>
        <v>0</v>
      </c>
      <c r="K31" s="12">
        <f t="shared" si="3"/>
        <v>0</v>
      </c>
      <c r="L31" s="12">
        <f t="shared" si="4"/>
        <v>0</v>
      </c>
      <c r="M31" s="12">
        <f t="shared" si="5"/>
        <v>-50</v>
      </c>
      <c r="N31" s="12" t="str">
        <f t="shared" si="6"/>
        <v>#DIV/0!</v>
      </c>
      <c r="O31" s="13" t="str">
        <f t="shared" si="7"/>
        <v>#DIV/0!</v>
      </c>
      <c r="P31" s="13" t="str">
        <f t="shared" si="8"/>
        <v>#DIV/0!</v>
      </c>
    </row>
    <row r="32">
      <c r="I32" s="12">
        <f t="shared" ref="I32:J32" si="36">C32-C31</f>
        <v>0</v>
      </c>
      <c r="J32" s="12">
        <f t="shared" si="36"/>
        <v>0</v>
      </c>
      <c r="K32" s="12">
        <f t="shared" si="3"/>
        <v>0</v>
      </c>
      <c r="L32" s="12">
        <f t="shared" si="4"/>
        <v>0</v>
      </c>
      <c r="M32" s="12">
        <f t="shared" si="5"/>
        <v>-50</v>
      </c>
      <c r="N32" s="12" t="str">
        <f t="shared" si="6"/>
        <v>#DIV/0!</v>
      </c>
      <c r="O32" s="13" t="str">
        <f t="shared" si="7"/>
        <v>#DIV/0!</v>
      </c>
      <c r="P32" s="13" t="str">
        <f t="shared" si="8"/>
        <v>#DIV/0!</v>
      </c>
    </row>
  </sheetData>
  <hyperlinks>
    <hyperlink r:id="rId2" ref="G4"/>
    <hyperlink r:id="rId3" ref="H4"/>
    <hyperlink r:id="rId4" ref="G5"/>
    <hyperlink r:id="rId5" ref="H5"/>
    <hyperlink r:id="rId6" ref="G6"/>
    <hyperlink r:id="rId7" ref="H6"/>
    <hyperlink r:id="rId8" ref="G7"/>
    <hyperlink r:id="rId9" ref="H7"/>
    <hyperlink r:id="rId10" ref="G8"/>
    <hyperlink r:id="rId11" ref="H8"/>
    <hyperlink r:id="rId12" ref="G9"/>
    <hyperlink r:id="rId13" ref="H9"/>
  </hyperlinks>
  <drawing r:id="rId14"/>
  <legacyDrawing r:id="rId15"/>
  <tableParts count="1">
    <tablePart r:id="rId17"/>
  </tableParts>
</worksheet>
</file>